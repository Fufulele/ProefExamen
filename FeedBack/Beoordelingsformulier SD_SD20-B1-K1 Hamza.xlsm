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ohan\Downloads\"/>
    </mc:Choice>
  </mc:AlternateContent>
  <xr:revisionPtr revIDLastSave="0" documentId="13_ncr:1_{5C505250-7509-4CD4-9FC7-BBDA9885D549}" xr6:coauthVersionLast="47" xr6:coauthVersionMax="47" xr10:uidLastSave="{00000000-0000-0000-0000-000000000000}"/>
  <bookViews>
    <workbookView xWindow="-108" yWindow="-108" windowWidth="23256" windowHeight="13176" tabRatio="840" firstSheet="5"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<sst xmlns="http://schemas.openxmlformats.org/spreadsheetml/2006/main" count="568" uniqueCount="214">
  <si>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</si>
  <si>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</si>
  <si>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</si>
  <si>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</si>
  <si>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</si>
  <si>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</si>
  <si>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</si>
  <si>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</si>
  <si>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</si>
  <si>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</si>
  <si>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</si>
  <si>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</si>
  <si>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</si>
  <si>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</si>
  <si>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</si>
  <si>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</si>
  <si>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</si>
  <si>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</si>
  <si>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</si>
  <si>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</si>
  <si>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</si>
  <si>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</si>
  <si>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</si>
  <si>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</si>
  <si>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</si>
  <si>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</si>
  <si>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</si>
  <si>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</si>
  <si>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</si>
  <si>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</si>
  <si>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</si>
  <si>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</si>
  <si>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</si>
  <si>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</si>
  <si>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</si>
  <si>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</si>
  <si>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</si>
  <si>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</si>
  <si>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</si>
  <si>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</si>
  <si>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</si>
  <si>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</si>
  <si>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</si>
  <si>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</si>
  <si>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</si>
  <si>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</si>
  <si>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</si>
  <si>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</si>
  <si>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</si>
  <si>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</si>
  <si>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</si>
  <si>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</si>
  <si>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</si>
  <si>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</si>
  <si>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</si>
  <si>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</si>
  <si>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</si>
  <si>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</si>
  <si>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</si>
  <si>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</si>
  <si>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</si>
  <si>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</si>
  <si>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</si>
  <si>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</si>
  <si>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</si>
  <si>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</si>
  <si>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</si>
  <si>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</si>
  <si>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</si>
  <si>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</si>
  <si>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</si>
  <si>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</si>
  <si>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</si>
  <si>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</si>
  <si>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</si>
  <si>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</si>
  <si>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</si>
  <si>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</si>
  <si>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</si>
  <si>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</si>
  <si>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</si>
  <si>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</si>
  <si>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</si>
  <si>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</si>
  <si>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</si>
  <si>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</si>
  <si>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</si>
  <si>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</si>
  <si>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</si>
  <si>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</si>
  <si>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</si>
  <si>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</si>
  <si>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</si>
  <si>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</si>
  <si>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</si>
  <si>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</si>
  <si>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</si>
  <si>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</si>
  <si>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</si>
  <si>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</si>
  <si>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</si>
  <si>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</si>
  <si>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</si>
  <si>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</si>
  <si>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</si>
  <si>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</si>
  <si>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</si>
  <si>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</si>
  <si>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</si>
  <si>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</si>
  <si>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</si>
  <si>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</si>
  <si>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</si>
  <si>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</si>
  <si>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</si>
  <si>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</si>
  <si>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</si>
  <si>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</si>
  <si>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</si>
  <si>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</si>
  <si>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</si>
  <si>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</si>
  <si>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</si>
  <si>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</si>
  <si>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</si>
  <si>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</si>
  <si>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</si>
  <si>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</si>
  <si>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</si>
  <si>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</si>
  <si>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</si>
  <si>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</si>
  <si>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</si>
  <si>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</si>
  <si>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</si>
  <si>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</si>
  <si>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</si>
  <si>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</si>
  <si>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</si>
  <si>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</si>
  <si>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</si>
  <si>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</si>
  <si>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</si>
  <si>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</si>
  <si>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</si>
  <si>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</si>
  <si>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</si>
  <si>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</si>
  <si>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</si>
  <si>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</si>
  <si>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</si>
  <si>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</si>
  <si>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</si>
  <si>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</si>
  <si>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</si>
  <si>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</si>
  <si>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</si>
  <si>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</si>
  <si>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</si>
  <si>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</si>
  <si>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</si>
  <si>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</si>
  <si>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</si>
  <si>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</si>
  <si>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</si>
  <si>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</si>
  <si>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</si>
  <si>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</si>
  <si>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</si>
  <si>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</si>
  <si>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</si>
  <si>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</si>
  <si>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</si>
  <si>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</si>
  <si>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</si>
  <si>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</si>
  <si>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</si>
  <si>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</si>
  <si>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</si>
  <si>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</si>
  <si>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</si>
  <si>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</si>
  <si>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</si>
  <si>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</si>
  <si>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</si>
  <si>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</si>
  <si>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</si>
  <si>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</si>
  <si>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</si>
  <si>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</si>
  <si>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</si>
  <si>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</si>
  <si>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</si>
  <si>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</si>
  <si>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</si>
  <si>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</si>
  <si>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</si>
  <si>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</si>
  <si>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</si>
  <si>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</si>
  <si>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</si>
  <si>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</si>
  <si>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</si>
  <si>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</si>
  <si>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</si>
  <si>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</si>
  <si>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</si>
  <si>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</si>
  <si>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</si>
  <si>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</si>
  <si>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</si>
  <si>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3A</t>
  </si>
  <si>
    <t>Rohan Dayal</t>
  </si>
  <si>
    <t>Hamza Taha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</si>
</sst>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checked="Checked"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checked="Checked"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checked="Checked" fmlaLink="'B1-K1-W1'!$K$27" lockText="1" noThreeD="1"/>
</file>

<file path=xl/ctrlProps/ctrlProp19.xml><?xml version="1.0" encoding="utf-8"?>
<formControlPr xmlns="http://schemas.microsoft.com/office/spreadsheetml/2009/9/main" objectType="CheckBox" fmlaLink="'B1-K1-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checked="Checked"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checked="Checked"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checked="Checked"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checked="Checked"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checked="Checked"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checked="Checked"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checked="Checked"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checked="Checked"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checked="Checked"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checked="Checked"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opLeftCell="A22" workbookViewId="0">
      <selection activeCell="B30" sqref="B30"/>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v>45590</v>
      </c>
      <c r="C16" s="114"/>
      <c r="D16" s="78" t="s">
        <v>136</v>
      </c>
    </row>
    <row r="17" spans="1:4" x14ac:dyDescent="0.3">
      <c r="A17" s="77" t="s">
        <v>38</v>
      </c>
      <c r="B17" s="107" t="s">
        <v>213</v>
      </c>
      <c r="C17" s="108"/>
    </row>
    <row r="18" spans="1:4" x14ac:dyDescent="0.3">
      <c r="A18" s="77" t="s">
        <v>39</v>
      </c>
      <c r="B18" s="115">
        <v>9018415</v>
      </c>
      <c r="C18" s="116"/>
    </row>
    <row r="19" spans="1:4" x14ac:dyDescent="0.3">
      <c r="A19" s="77" t="s">
        <v>40</v>
      </c>
      <c r="B19" s="107" t="s">
        <v>211</v>
      </c>
      <c r="C19" s="108"/>
    </row>
    <row r="20" spans="1:4" x14ac:dyDescent="0.3">
      <c r="A20" s="77" t="s">
        <v>137</v>
      </c>
      <c r="B20" s="107" t="s">
        <v>212</v>
      </c>
      <c r="C20" s="108"/>
    </row>
    <row r="21" spans="1:4" x14ac:dyDescent="0.3">
      <c r="A21" s="77" t="s">
        <v>138</v>
      </c>
      <c r="B21" s="107" t="s">
        <v>212</v>
      </c>
      <c r="C21" s="108"/>
    </row>
    <row r="22" spans="1:4" ht="15" thickBot="1" x14ac:dyDescent="0.35"/>
    <row r="23" spans="1:4" ht="15" thickBot="1" x14ac:dyDescent="0.35">
      <c r="A23" s="95" t="s">
        <v>26</v>
      </c>
      <c r="B23" s="94" t="s">
        <v>139</v>
      </c>
      <c r="C23" s="109" t="s">
        <v>140</v>
      </c>
    </row>
    <row r="24" spans="1:4" x14ac:dyDescent="0.3">
      <c r="A24" s="77" t="s">
        <v>63</v>
      </c>
      <c r="B24" s="79">
        <f>'B1-K1-W1'!B45</f>
        <v>7</v>
      </c>
      <c r="C24" s="109"/>
    </row>
    <row r="25" spans="1:4" x14ac:dyDescent="0.3">
      <c r="A25" s="77" t="s">
        <v>65</v>
      </c>
      <c r="B25" s="79">
        <f>IF('B1-K1-W2'!E30=TRUE,'B1-K1-W2'!B46,"")</f>
        <v>7</v>
      </c>
      <c r="C25" s="109"/>
    </row>
    <row r="26" spans="1:4" x14ac:dyDescent="0.3">
      <c r="A26" s="77" t="s">
        <v>67</v>
      </c>
      <c r="B26" s="79">
        <f>IF('B1-K1-W3'!E33=TRUE,'B1-K1-W3'!B64,"")</f>
        <v>7</v>
      </c>
      <c r="C26" s="109"/>
    </row>
    <row r="27" spans="1:4" x14ac:dyDescent="0.3">
      <c r="A27" s="77" t="s">
        <v>69</v>
      </c>
      <c r="B27" s="79">
        <f>'B1-K1-W4'!B41</f>
        <v>2</v>
      </c>
      <c r="C27" s="109"/>
    </row>
    <row r="28" spans="1:4" x14ac:dyDescent="0.3">
      <c r="A28" s="77" t="s">
        <v>71</v>
      </c>
      <c r="B28" s="79">
        <f>IF('B1-K1-W5'!E35=TRUE,'B1-K1-W5'!B52,"")</f>
        <v>1.9</v>
      </c>
      <c r="C28" s="109"/>
    </row>
    <row r="29" spans="1:4" x14ac:dyDescent="0.3">
      <c r="A29" s="16"/>
      <c r="B29" s="89"/>
      <c r="C29" s="88"/>
      <c r="D29" s="92"/>
    </row>
    <row r="30" spans="1:4" x14ac:dyDescent="0.3">
      <c r="A30" s="90" t="s">
        <v>141</v>
      </c>
      <c r="B30" s="91" cm="1">
        <f t="array" ref="B30">IF(OR(B24:B28&lt;5.5),1,IF(OR(B24:B28=""),"",(AVERAGE(B24:B28))))</f>
        <v>1</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20:C20"/>
    <mergeCell ref="B21:C21"/>
    <mergeCell ref="C23:C28"/>
    <mergeCell ref="A15:C15"/>
    <mergeCell ref="B16:C16"/>
    <mergeCell ref="B17:C17"/>
    <mergeCell ref="B18:C18"/>
    <mergeCell ref="B19:C19"/>
    <mergeCell ref="B9:C9"/>
    <mergeCell ref="B11:C11"/>
    <mergeCell ref="B13:C13"/>
    <mergeCell ref="A1:C1"/>
    <mergeCell ref="A3:C3"/>
    <mergeCell ref="B6:C6"/>
    <mergeCell ref="B7:C7"/>
    <mergeCell ref="B8:C8"/>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50" workbookViewId="0">
      <selection activeCell="E63" sqref="E63"/>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Hamza Taha</v>
      </c>
      <c r="D15" s="10"/>
      <c r="E15" s="10"/>
      <c r="F15" s="10"/>
      <c r="G15" s="14"/>
    </row>
    <row r="16" spans="1:7" ht="22.5" customHeight="1" x14ac:dyDescent="0.3">
      <c r="B16" s="56" t="s">
        <v>39</v>
      </c>
      <c r="C16" s="87">
        <f>IF(Voorblad!B18="","",Voorblad!B18)</f>
        <v>9018415</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1</v>
      </c>
      <c r="K26" s="59" t="b">
        <v>0</v>
      </c>
      <c r="L26" s="59" t="b">
        <v>0</v>
      </c>
      <c r="M26" s="59">
        <f>IF(L26=TRUE,3,IF(K26=TRUE,2,IF(J26=TRUE,1,IF(I26=TRUE,0,0))))</f>
        <v>1</v>
      </c>
      <c r="N26" s="59">
        <f>(4-COUNTBLANK(D26:G26))-1</f>
        <v>3</v>
      </c>
      <c r="O26" s="59">
        <f>COUNTA(I26:L26)</f>
        <v>3</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1</v>
      </c>
      <c r="L27" s="59" t="b">
        <v>0</v>
      </c>
      <c r="M27" s="59">
        <f>IF(L27=TRUE,3,IF(K27=TRUE,2,IF(J27=TRUE,1,IF(I27=TRUE,0,0))))</f>
        <v>2</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X</v>
      </c>
    </row>
    <row r="41" spans="2:4" x14ac:dyDescent="0.3">
      <c r="B41" s="69">
        <v>9</v>
      </c>
      <c r="C41" s="70">
        <f t="shared" si="0"/>
        <v>7.8</v>
      </c>
      <c r="D41" s="62" t="str">
        <f t="shared" si="1"/>
        <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7</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43"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Hamza Taha</v>
      </c>
      <c r="D15" s="10"/>
      <c r="E15" s="10"/>
      <c r="F15" s="10"/>
      <c r="G15" s="14"/>
    </row>
    <row r="16" spans="1:7" ht="22.5" customHeight="1" x14ac:dyDescent="0.3">
      <c r="B16" s="56" t="s">
        <v>39</v>
      </c>
      <c r="C16" s="87">
        <f>IF(Voorblad!B18="","",Voorblad!B18)</f>
        <v>9018415</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t="b">
        <v>0</v>
      </c>
      <c r="M25" s="59">
        <f>IF(L25=TRUE,3,IF(K25=TRUE,2,IF(J25=TRUE,1,IF(I25=TRUE,0,0))))</f>
        <v>2</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1</v>
      </c>
      <c r="K26" s="59" t="b">
        <v>0</v>
      </c>
      <c r="L26" s="59"/>
      <c r="M26" s="59">
        <f>IF(L26=TRUE,3,IF(K26=TRUE,2,IF(J26=TRUE,1,IF(I26=TRUE,0,0))))</f>
        <v>1</v>
      </c>
      <c r="N26" s="59">
        <f>(4-COUNTBLANK(D26:G26))-1</f>
        <v>3</v>
      </c>
      <c r="O26" s="59">
        <f>COUNTA(I26:L26)</f>
        <v>2</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X</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7</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80"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Hamza Taha</v>
      </c>
      <c r="D15" s="10"/>
      <c r="E15" s="10"/>
      <c r="F15" s="10"/>
      <c r="G15" s="14"/>
    </row>
    <row r="16" spans="1:7" ht="22.5" customHeight="1" x14ac:dyDescent="0.3">
      <c r="B16" s="56" t="s">
        <v>39</v>
      </c>
      <c r="C16" s="87">
        <f>IF(Voorblad!B18="","",Voorblad!B18)</f>
        <v>9018415</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1</v>
      </c>
      <c r="L24" s="59" t="b">
        <v>0</v>
      </c>
      <c r="M24" s="59">
        <f t="shared" ref="M24:M29" si="0">IF(L24=TRUE,3,IF(K24=TRUE,2,IF(J24=TRUE,1,IF(I24=TRUE,0,0))))</f>
        <v>2</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1</v>
      </c>
      <c r="L28" s="59" t="b">
        <v>0</v>
      </c>
      <c r="M28" s="59">
        <f t="shared" si="0"/>
        <v>2</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1</v>
      </c>
      <c r="K29" s="59" t="b">
        <v>0</v>
      </c>
      <c r="L29" s="59" t="b">
        <v>0</v>
      </c>
      <c r="M29" s="59">
        <f t="shared" si="0"/>
        <v>1</v>
      </c>
      <c r="N29" s="59">
        <f t="shared" si="1"/>
        <v>3</v>
      </c>
      <c r="O29" s="59">
        <f t="shared" si="2"/>
        <v>3</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X</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7</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19"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1</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Hamza Taha</v>
      </c>
      <c r="D15" s="10"/>
      <c r="E15" s="10"/>
      <c r="F15" s="10"/>
      <c r="G15" s="14"/>
    </row>
    <row r="16" spans="1:7" ht="22.5" customHeight="1" x14ac:dyDescent="0.3">
      <c r="B16" s="56" t="s">
        <v>39</v>
      </c>
      <c r="C16" s="87">
        <f>IF(Voorblad!B18="","",Voorblad!B18)</f>
        <v>9018415</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0</v>
      </c>
      <c r="J24" s="59" t="b">
        <v>1</v>
      </c>
      <c r="K24" s="59" t="b">
        <v>0</v>
      </c>
      <c r="L24" s="59" t="b">
        <v>0</v>
      </c>
      <c r="M24" s="59">
        <f>IF(L24=TRUE,3,IF(K24=TRUE,2,IF(J24=TRUE,1,IF(I24=TRUE,0,0))))</f>
        <v>1</v>
      </c>
      <c r="N24" s="59">
        <f>(4-COUNTBLANK(D24:G24))-1</f>
        <v>3</v>
      </c>
      <c r="O24" s="59">
        <f>COUNTA(I24:L24)</f>
        <v>4</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1</v>
      </c>
      <c r="J25" s="59" t="b">
        <v>0</v>
      </c>
      <c r="K25" s="59" t="b">
        <v>0</v>
      </c>
      <c r="L25" s="59" t="b">
        <v>0</v>
      </c>
      <c r="M25" s="59">
        <f>IF(L25=TRUE,3,IF(K25=TRUE,2,IF(J25=TRUE,1,IF(I25=TRUE,0,0))))</f>
        <v>0</v>
      </c>
      <c r="N25" s="59">
        <f>(4-COUNTBLANK(D25:G25))-1</f>
        <v>3</v>
      </c>
      <c r="O25" s="59">
        <f>COUNTA(I25:L25)</f>
        <v>4</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1</v>
      </c>
      <c r="J26" s="59" t="b">
        <v>0</v>
      </c>
      <c r="K26" s="59" t="b">
        <v>0</v>
      </c>
      <c r="L26" s="59" t="b">
        <v>0</v>
      </c>
      <c r="M26" s="59">
        <f>IF(L26=TRUE,3,IF(K26=TRUE,2,IF(J26=TRUE,1,IF(I26=TRUE,0,0))))</f>
        <v>0</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X</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f>IF(D31="X","",IF(D32="X",C32,IF(D33="X",C33,IF(D34="X",C34,IF(D35="X",C35,IF(D36="X",C36,IF(D37="X",C37,IF(D38="X",C38,IF(D39="X",C39,IF(D40="X",C40,""))))))))))</f>
        <v>2</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abSelected="1" topLeftCell="B19" workbookViewId="0">
      <selection activeCell="C15" sqref="C15"/>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1</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Hamza Taha</v>
      </c>
      <c r="D15" s="10"/>
      <c r="E15" s="10"/>
      <c r="F15" s="10"/>
      <c r="G15" s="14"/>
    </row>
    <row r="16" spans="1:7" ht="22.5" customHeight="1" x14ac:dyDescent="0.3">
      <c r="B16" s="56" t="s">
        <v>39</v>
      </c>
      <c r="C16" s="87">
        <f>IF(Voorblad!B18="","",Voorblad!B18)</f>
        <v>9018415</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1</v>
      </c>
      <c r="J24" s="59" t="b">
        <v>0</v>
      </c>
      <c r="K24" s="59" t="b">
        <v>0</v>
      </c>
      <c r="L24" s="59" t="b">
        <v>0</v>
      </c>
      <c r="M24" s="59">
        <f>IF(L24=TRUE,3,IF(K24=TRUE,2,IF(J24=TRUE,1,IF(I24=TRUE,0,0))))</f>
        <v>0</v>
      </c>
      <c r="N24" s="59">
        <f>(4-COUNTBLANK(D24:G24))-1</f>
        <v>3</v>
      </c>
      <c r="O24" s="59">
        <f>COUNTA(I24:L24)</f>
        <v>4</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1</v>
      </c>
      <c r="J25" s="59" t="b">
        <v>0</v>
      </c>
      <c r="K25" s="59" t="b">
        <v>0</v>
      </c>
      <c r="L25" s="59" t="b">
        <v>0</v>
      </c>
      <c r="M25" s="59">
        <f>IF(L25=TRUE,3,IF(K25=TRUE,2,IF(J25=TRUE,1,IF(I25=TRUE,0,0))))</f>
        <v>0</v>
      </c>
      <c r="N25" s="59">
        <f>(4-COUNTBLANK(D25:G25))-1</f>
        <v>3</v>
      </c>
      <c r="O25" s="59">
        <f>COUNTA(I25:L25)</f>
        <v>4</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1</v>
      </c>
      <c r="J26" s="59" t="b">
        <v>0</v>
      </c>
      <c r="K26" s="59" t="b">
        <v>0</v>
      </c>
      <c r="L26" s="59"/>
      <c r="M26" s="59">
        <f>IF(L26=TRUE,3,IF(K26=TRUE,2,IF(J26=TRUE,1,IF(I26=TRUE,0,0))))</f>
        <v>0</v>
      </c>
      <c r="N26" s="59">
        <f>(4-COUNTBLANK(D26:G26))-1</f>
        <v>3</v>
      </c>
      <c r="O26" s="59">
        <f>COUNTA(I26:L26)</f>
        <v>3</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X</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f>IF(D41="X","",IF(D42="X",C42,IF(D43="X",C43,IF(D44="X",C44,IF(D45="X",C45,IF(D46="X",C46,IF(D47="X",C47,IF(D48="X",C48,IF(D49="X",C49,IF(D50="X",C50,IF(D51="X",C51,"")))))))))))</f>
        <v>1.9</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Rohan Dayal</cp:lastModifiedBy>
  <cp:revision/>
  <dcterms:created xsi:type="dcterms:W3CDTF">2015-10-30T11:14:52Z</dcterms:created>
  <dcterms:modified xsi:type="dcterms:W3CDTF">2024-11-08T08:39:34Z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